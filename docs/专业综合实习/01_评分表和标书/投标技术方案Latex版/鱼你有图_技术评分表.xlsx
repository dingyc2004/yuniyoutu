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打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<sst xmlns="http://schemas.openxmlformats.org/spreadsheetml/2006/main" count="42" uniqueCount="42">
  <si>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技术评分细则</t>
  </si>
  <si>
    <t>序号</t>
  </si>
  <si>
    <t>类别</t>
  </si>
  <si>
    <t>评价项</t>
  </si>
  <si>
    <t>评分细项</t>
  </si>
  <si>
    <t>评分标准</t>
  </si>
  <si>
    <t>分值</t>
  </si>
  <si>
    <t>江涵打分</t>
  </si>
  <si>
    <t>丁熠晨打分</t>
  </si>
  <si>
    <t>张翔打分</t>
  </si>
  <si>
    <t>平均得分</t>
  </si>
  <si>
    <t>项目定位与需求响应</t>
  </si>
  <si>
    <t>需求理解与MVP边界</t>
  </si>
  <si>
    <t>围绕“去哪钓、能不能钓、现在适不适合钓、钓到了怎么分享和复盘、新手怎么快速上手”说明用户场景；明确课程实习MVP边界，不把会员、赛事、复杂商户、正式禁渔区合作等非MVP内容作为当前交付。验证方法：检查产品计划书、功能设计书、演示说明。</t>
  </si>
  <si>
    <t>定位清晰、需求闭环完整，得5-6分；定位基本清楚但需求展开不充分，得3-4分；仅有概念描述、缺少具体用户场景，得0-2分。</t>
  </si>
  <si>
    <t>核心功能完成度</t>
  </si>
  <si>
    <t>主流程闭环</t>
  </si>
  <si>
    <t>评价是否跑通“地图找点 → 钓点详情 → 推荐解释 → 发布鱼获/空军 → 社区展示”的MVP主流程。重点检查地图首页与POI展示4分、钓点详情3分、鱼获/空军发布3分、社区鱼获流2分、教程页1分、完整流程联动2分。验证方法：现场演示、页面截图、接口返回结果、功能设计书逐项对照。</t>
  </si>
  <si>
    <t>核心页面和主流程均可演示，且数据有基本联动，得12-15分；主要页面可用但部分联动不足，得8-11分；仅完成少量静态页面或流程明显断裂，得0-7分。</t>
  </si>
  <si>
    <t>技术架构与接口设计</t>
  </si>
  <si>
    <t>前后端架构与API</t>
  </si>
  <si>
    <t>评价前后端职责是否清楚，接口是否稳定，字段是否能支撑联调。重点检查Vue3前端页面、高德地图展示、FastAPI统一API、POI/帖子/推荐/天气/AI解释接口、环境变量与密钥管理。验证方法：检查开发设计书、API清单、后端路由、前端页面和接口测试结果。</t>
  </si>
  <si>
    <t>前后端边界清晰、接口完整、结构稳定，得7-8分；架构基本合理但部分接口或字段不完整，得4-6分；仅有页面或仅有后端，联调不足，得0-3分。</t>
  </si>
  <si>
    <t>推荐模型与AI解释设计</t>
  </si>
  <si>
    <t>规则推荐与AI解释</t>
  </si>
  <si>
    <t>评价推荐分项、风险约束和AI解释是否合理。排序应由后端规则模型完成，AI只负责解释推荐结果；推荐需体现鱼情分、合规分、距离分、天气适配分、设施便利分、社交热度分，并优先提示禁钓、限钓和安全风险。验证方法：检查推荐接口返回、分项得分、风险提示字段和AI解释示例。</t>
  </si>
  <si>
    <t>规则模型明确、风险约束有效、AI解释合理，得6-7分；有基本推荐逻辑但分项或约束不完整，得3-5分；仅有笼统AI文案或无可验证排序逻辑，得0-2分。</t>
  </si>
  <si>
    <t>数据结构与数据可用性</t>
  </si>
  <si>
    <t>核心数据模型</t>
  </si>
  <si>
    <t>评价是否具有清楚的数据模型并能支撑核心流程。重点检查FishingPOI、CatchPost、Recommendation、WeatherSnapshot等模型，以及data目录中的JSON集合与schema文件。验证方法：检查data目录、JSON数据、schema文件和接口返回字段。</t>
  </si>
  <si>
    <t>数据模型完整、字段能支撑核心流程，得4-5分；数据结构基本可用但字段不够统一，得2-3分；只有零散mock数据、难以支撑联调，得0-1分。</t>
  </si>
  <si>
    <t>界面交互与演示体验</t>
  </si>
  <si>
    <t>页面完成度与交互体验</t>
  </si>
  <si>
    <t>评价项目是否能完成课程实习演示，重点看地图即首页、POI卡片、详情页、发布页、社区页、教程页的页面结构、跳转路径、状态反馈和视觉统一性。验证方法：现场演示、页面截图、交互录屏、前端运行效果。</t>
  </si>
  <si>
    <t>页面结构完整、主流程顺畅、视觉风格统一，得4-5分；页面基本可用但跳转或状态反馈不足，得2-3分；页面零散、难以完成演示，得0-1分。</t>
  </si>
  <si>
    <t>文档规范与团队协作</t>
  </si>
  <si>
    <t>文档完整性与表达规范</t>
  </si>
  <si>
    <t>评价是否按课程要求形成技术评分表、技术投标文件、产品计划书、功能设计书、开发设计书等文档；内容应与当前实现一致，编号、表格、术语和提交格式保持统一。验证方法：检查提交文档、目录结构、功能响应表、实施计划和项目说明。</t>
  </si>
  <si>
    <t>文档完整、编号统一、内容与实现一致，得4分；文档基本完整但部分内容与实现脱节，得2-3分；文档缺失或格式混乱，得0-1分。</t>
  </si>
  <si>
    <t>合计</t>
  </si>
  <si>
    <t>评分说明</t>
  </si>
  <si>
    <t>G-I列为小组3名成员打分区；单项得分不得超过F列对应分值；J列自动计算成员平均得分。评分时建议结合现场演示、项目代码、接口结果和提交文档进行核验。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</si>
</sst>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"/>
  </numFmts>
  <fonts count="34">
    <font>
      <sz val="11"/>
      <color theme="1"/>
      <name val="宋体"/>
      <charset val="134"/>
    </font>
    <font>
      <b/>
      <sz val="18"/>
      <color rgb="FF000000"/>
      <name val="宋体"/>
      <charset val="134"/>
    </font>
    <font>
      <b/>
      <sz val="11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b/>
      <sz val="12"/>
      <color theme="1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  <font>
      <sz val="12"/>
      <name val="Times New Roman"/>
      <charset val="134"/>
    </font>
    <font>
      <sz val="10"/>
      <name val="Genev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2" applyNumberFormat="0" applyAlignment="0" applyProtection="0">
      <alignment vertical="center"/>
    </xf>
    <xf numFmtId="0" fontId="21" fillId="4" borderId="13" applyNumberFormat="0" applyAlignment="0" applyProtection="0">
      <alignment vertical="center"/>
    </xf>
    <xf numFmtId="0" fontId="22" fillId="4" borderId="12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2" fillId="0" borderId="0"/>
    <xf numFmtId="0" fontId="33" fillId="0" borderId="0"/>
  </cellStyleXfs>
  <cellXfs count="27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center" vertical="center" wrapText="1"/>
    </xf>
    <xf numFmtId="180" fontId="4" fillId="0" borderId="1" xfId="0" applyNumberFormat="1" applyFont="1" applyFill="1" applyBorder="1" applyAlignment="1">
      <alignment horizontal="center" vertical="center" wrapText="1"/>
    </xf>
    <xf numFmtId="18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top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180" fontId="9" fillId="0" borderId="0" xfId="0" applyNumberFormat="1" applyFont="1" applyBorder="1" applyAlignment="1">
      <alignment horizontal="center" vertical="center" wrapText="1"/>
    </xf>
    <xf numFmtId="0" fontId="10" fillId="0" borderId="0" xfId="0" applyFont="1">
      <alignment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2" xfId="49"/>
    <cellStyle name="常规 2" xfId="50"/>
    <cellStyle name="常规 3" xfId="51"/>
    <cellStyle name="常规 3 2" xfId="52"/>
    <cellStyle name="常规 3 2 4" xfId="53"/>
    <cellStyle name="常规 3 3" xfId="54"/>
    <cellStyle name="常规 3 3 3" xfId="55"/>
    <cellStyle name="常规_评标细则-（打分汇总表）小灵通" xfId="56"/>
    <cellStyle name="样式 1" xfId="5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07-2010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-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zoomScale="64" zoomScaleNormal="64" workbookViewId="0">
      <selection activeCell="L7" sqref="L7"/>
    </sheetView>
  </sheetViews>
  <sheetFormatPr defaultColWidth="9.88181818181818" defaultRowHeight="14"/>
  <cols>
    <col min="1" max="1" width="6" style="1" customWidth="1"/>
    <col min="2" max="2" width="18" style="1" customWidth="1"/>
    <col min="3" max="3" width="20" style="2" customWidth="1"/>
    <col min="4" max="4" width="48" style="1" customWidth="1"/>
    <col min="5" max="5" width="42" style="1" customWidth="1"/>
    <col min="6" max="6" width="8" style="1" customWidth="1"/>
    <col min="7" max="9" width="12" style="1" customWidth="1"/>
    <col min="10" max="10" width="10" style="1" customWidth="1"/>
    <col min="11" max="16384" width="9.88181818181818" style="1"/>
  </cols>
  <sheetData>
    <row r="1" ht="28" customHeight="1" spans="1:10">
      <c r="A1" s="3" t="s">
        <v>0</v>
      </c>
      <c r="B1" s="3"/>
      <c r="C1" s="3"/>
      <c r="D1" s="3"/>
      <c r="E1" s="3"/>
      <c r="F1" s="3"/>
      <c r="G1" s="4"/>
      <c r="H1" s="4"/>
      <c r="I1" s="4"/>
      <c r="J1" s="4"/>
    </row>
    <row r="2" ht="28" customHeight="1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ht="96" customHeight="1" spans="1:10">
      <c r="A3" s="7">
        <v>1</v>
      </c>
      <c r="B3" s="8" t="s">
        <v>11</v>
      </c>
      <c r="C3" s="8" t="s">
        <v>12</v>
      </c>
      <c r="D3" s="9" t="s">
        <v>13</v>
      </c>
      <c r="E3" s="9" t="s">
        <v>14</v>
      </c>
      <c r="F3" s="10">
        <v>6</v>
      </c>
      <c r="G3" s="11">
        <v>4</v>
      </c>
      <c r="H3" s="12">
        <v>5</v>
      </c>
      <c r="I3" s="12">
        <v>5</v>
      </c>
      <c r="J3" s="12">
        <f t="shared" ref="J3:J9" si="0">IF(COUNTA(G3:I3)=0,"",AVERAGE(G3:I3))</f>
        <v>4.66666666666667</v>
      </c>
    </row>
    <row r="4" ht="91" customHeight="1" spans="1:10">
      <c r="A4" s="7">
        <v>2</v>
      </c>
      <c r="B4" s="8" t="s">
        <v>15</v>
      </c>
      <c r="C4" s="8" t="s">
        <v>16</v>
      </c>
      <c r="D4" s="9" t="s">
        <v>17</v>
      </c>
      <c r="E4" s="9" t="s">
        <v>18</v>
      </c>
      <c r="F4" s="10">
        <v>15</v>
      </c>
      <c r="G4" s="11">
        <v>8</v>
      </c>
      <c r="H4" s="12">
        <v>10</v>
      </c>
      <c r="I4" s="12">
        <v>8</v>
      </c>
      <c r="J4" s="12">
        <f t="shared" si="0"/>
        <v>8.66666666666667</v>
      </c>
    </row>
    <row r="5" ht="96" customHeight="1" spans="1:10">
      <c r="A5" s="7">
        <v>3</v>
      </c>
      <c r="B5" s="8" t="s">
        <v>19</v>
      </c>
      <c r="C5" s="8" t="s">
        <v>20</v>
      </c>
      <c r="D5" s="9" t="s">
        <v>21</v>
      </c>
      <c r="E5" s="9" t="s">
        <v>22</v>
      </c>
      <c r="F5" s="10">
        <v>8</v>
      </c>
      <c r="G5" s="11">
        <v>7</v>
      </c>
      <c r="H5" s="12">
        <v>6</v>
      </c>
      <c r="I5" s="12">
        <v>6</v>
      </c>
      <c r="J5" s="12">
        <f t="shared" si="0"/>
        <v>6.33333333333333</v>
      </c>
    </row>
    <row r="6" ht="98" customHeight="1" spans="1:10">
      <c r="A6" s="7">
        <v>4</v>
      </c>
      <c r="B6" s="8" t="s">
        <v>23</v>
      </c>
      <c r="C6" s="8" t="s">
        <v>24</v>
      </c>
      <c r="D6" s="9" t="s">
        <v>25</v>
      </c>
      <c r="E6" s="9" t="s">
        <v>26</v>
      </c>
      <c r="F6" s="10">
        <v>7</v>
      </c>
      <c r="G6" s="11">
        <v>5</v>
      </c>
      <c r="H6" s="12">
        <v>4</v>
      </c>
      <c r="I6" s="12">
        <v>3</v>
      </c>
      <c r="J6" s="12">
        <f t="shared" si="0"/>
        <v>4</v>
      </c>
    </row>
    <row r="7" ht="82" customHeight="1" spans="1:10">
      <c r="A7" s="7">
        <v>5</v>
      </c>
      <c r="B7" s="8" t="s">
        <v>27</v>
      </c>
      <c r="C7" s="8" t="s">
        <v>28</v>
      </c>
      <c r="D7" s="9" t="s">
        <v>29</v>
      </c>
      <c r="E7" s="9" t="s">
        <v>30</v>
      </c>
      <c r="F7" s="10">
        <v>5</v>
      </c>
      <c r="G7" s="11">
        <v>4</v>
      </c>
      <c r="H7" s="12">
        <v>5</v>
      </c>
      <c r="I7" s="12">
        <v>4</v>
      </c>
      <c r="J7" s="12">
        <f t="shared" si="0"/>
        <v>4.33333333333333</v>
      </c>
    </row>
    <row r="8" ht="82" customHeight="1" spans="1:10">
      <c r="A8" s="7">
        <v>6</v>
      </c>
      <c r="B8" s="8" t="s">
        <v>31</v>
      </c>
      <c r="C8" s="8" t="s">
        <v>32</v>
      </c>
      <c r="D8" s="9" t="s">
        <v>33</v>
      </c>
      <c r="E8" s="9" t="s">
        <v>34</v>
      </c>
      <c r="F8" s="10">
        <v>5</v>
      </c>
      <c r="G8" s="11">
        <v>4</v>
      </c>
      <c r="H8" s="12">
        <v>4</v>
      </c>
      <c r="I8" s="12">
        <v>3</v>
      </c>
      <c r="J8" s="12">
        <f t="shared" si="0"/>
        <v>3.66666666666667</v>
      </c>
    </row>
    <row r="9" ht="95" customHeight="1" spans="1:10">
      <c r="A9" s="7">
        <v>7</v>
      </c>
      <c r="B9" s="13" t="s">
        <v>35</v>
      </c>
      <c r="C9" s="13" t="s">
        <v>36</v>
      </c>
      <c r="D9" s="9" t="s">
        <v>37</v>
      </c>
      <c r="E9" s="9" t="s">
        <v>38</v>
      </c>
      <c r="F9" s="10">
        <v>4</v>
      </c>
      <c r="G9" s="11">
        <v>4</v>
      </c>
      <c r="H9" s="12">
        <v>4</v>
      </c>
      <c r="I9" s="12">
        <v>4</v>
      </c>
      <c r="J9" s="12">
        <f t="shared" si="0"/>
        <v>4</v>
      </c>
    </row>
    <row r="10" ht="24" customHeight="1" spans="1:10">
      <c r="A10" s="5" t="s">
        <v>39</v>
      </c>
      <c r="B10" s="14"/>
      <c r="C10" s="15"/>
      <c r="D10" s="15"/>
      <c r="E10" s="16"/>
      <c r="F10" s="17">
        <f>SUM(F3:F9)</f>
        <v>50</v>
      </c>
      <c r="G10" s="18">
        <f>SUM(G3:G9)</f>
        <v>36</v>
      </c>
      <c r="H10" s="19">
        <f>SUM(H3:H9)</f>
        <v>38</v>
      </c>
      <c r="I10" s="19">
        <f>SUM(I3:I9)</f>
        <v>33</v>
      </c>
      <c r="J10" s="19">
        <f>SUM(J3:J9)</f>
        <v>35.6666666666667</v>
      </c>
    </row>
    <row r="11" ht="46" customHeight="1" spans="1:10">
      <c r="A11" s="20" t="s">
        <v>40</v>
      </c>
      <c r="B11" s="21" t="s">
        <v>41</v>
      </c>
      <c r="C11" s="22"/>
      <c r="D11" s="22"/>
      <c r="E11" s="22"/>
      <c r="F11" s="22"/>
      <c r="G11" s="22"/>
      <c r="H11" s="22"/>
      <c r="I11" s="22"/>
      <c r="J11" s="23"/>
    </row>
    <row r="12" ht="37.5" customHeight="1" spans="1:10">
      <c r="A12" s="24"/>
      <c r="B12" s="24"/>
      <c r="C12" s="24"/>
      <c r="D12" s="24"/>
      <c r="E12" s="24"/>
      <c r="F12" s="25"/>
      <c r="G12" s="26"/>
    </row>
  </sheetData>
  <mergeCells count="3">
    <mergeCell ref="A1:J1"/>
    <mergeCell ref="B10:E10"/>
    <mergeCell ref="B11:J11"/>
  </mergeCells>
  <dataValidations count="6">
    <dataValidation type="decimal" operator="between" allowBlank="1" showErrorMessage="1" errorTitle="分值超出范围" error="本项打分应在0到6之间。" sqref="G3:I3" errorStyle="warning">
      <formula1>0</formula1>
      <formula2>6</formula2>
    </dataValidation>
    <dataValidation type="decimal" operator="between" allowBlank="1" showErrorMessage="1" errorTitle="分值超出范围" error="本项打分应在0到15之间。" sqref="G4:I4" errorStyle="warning">
      <formula1>0</formula1>
      <formula2>15</formula2>
    </dataValidation>
    <dataValidation type="decimal" operator="between" allowBlank="1" showErrorMessage="1" errorTitle="分值超出范围" error="本项打分应在0到8之间。" sqref="G5:I5" errorStyle="warning">
      <formula1>0</formula1>
      <formula2>8</formula2>
    </dataValidation>
    <dataValidation type="decimal" operator="between" allowBlank="1" showErrorMessage="1" errorTitle="分值超出范围" error="本项打分应在0到7之间。" sqref="G6:I6" errorStyle="warning">
      <formula1>0</formula1>
      <formula2>7</formula2>
    </dataValidation>
    <dataValidation type="decimal" operator="between" allowBlank="1" showErrorMessage="1" errorTitle="分值超出范围" error="本项打分应在0到4之间。" sqref="G9:I9" errorStyle="warning">
      <formula1>0</formula1>
      <formula2>4</formula2>
    </dataValidation>
    <dataValidation type="decimal" operator="between" allowBlank="1" showErrorMessage="1" errorTitle="分值超出范围" error="本项打分应在0到5之间。" sqref="G7:I8" errorStyle="warning">
      <formula1>0</formula1>
      <formula2>5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打分表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丁熠晨</cp:lastModifiedBy>
  <dcterms:created xsi:type="dcterms:W3CDTF">2026-07-07T15:20:00Z</dcterms:created>
  <dcterms:modified xsi:type="dcterms:W3CDTF">2026-07-08T07:05:32Z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480EE2F0C665C99D45A94C6A936E7C11_42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